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 and Loss" sheetId="1" r:id="rId4"/>
    <sheet state="visible" name="Revenue" sheetId="2" r:id="rId5"/>
    <sheet state="visible" name="Operation Expenses" sheetId="3" r:id="rId6"/>
  </sheets>
  <definedNames>
    <definedName name="NetIncome">'Profit and Loss'!$O$9</definedName>
  </definedNames>
  <calcPr/>
  <extLst>
    <ext uri="GoogleSheetsCustomDataVersion2">
      <go:sheetsCustomData xmlns:go="http://customooxmlschemas.google.com/" r:id="rId7" roundtripDataChecksum="fG6A0fQvZoIzAck3eZ6r1PgliBfoYmylMAvAtDv3+wA="/>
    </ext>
  </extLst>
</workbook>
</file>

<file path=xl/sharedStrings.xml><?xml version="1.0" encoding="utf-8"?>
<sst xmlns="http://schemas.openxmlformats.org/spreadsheetml/2006/main" count="75" uniqueCount="49">
  <si>
    <t>{YEAR}</t>
  </si>
  <si>
    <t>PROFIT AND LOSS STATEMENT</t>
  </si>
  <si>
    <t>NET INCOME</t>
  </si>
  <si>
    <t>{COMPANY NAME}</t>
  </si>
  <si>
    <t>Line chart showing Gross Profit and Total Operation Expenses is in this cell. Enter data in table below.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</si>
  <si>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</si>
  <si>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</si>
  <si>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</si>
  <si>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</si>
  <si>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</si>
  <si>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</si>
  <si>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</si>
  <si>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</si>
  <si>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</si>
  <si>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</si>
  <si>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</si>
  <si>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</si>
  <si>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</si>
  <si>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Income From Operations</t>
  </si>
  <si>
    <t>Interest Income (Expense)</t>
  </si>
  <si>
    <t>Income Before Income Taxes</t>
  </si>
  <si>
    <t>Income Tax Expense</t>
  </si>
  <si>
    <t>Net Income</t>
  </si>
  <si>
    <t>PROFIT AND LOSS STATEMENT - REVENUE</t>
  </si>
  <si>
    <t>Revenue</t>
  </si>
  <si>
    <t>Sales</t>
  </si>
  <si>
    <t>Sales Returns (Reduction)</t>
  </si>
  <si>
    <t>Sales Discounts (Reduction)</t>
  </si>
  <si>
    <t>Other Revenue 1</t>
  </si>
  <si>
    <t>Other Revenue 2</t>
  </si>
  <si>
    <t>Other Revenue 3</t>
  </si>
  <si>
    <t>Net Sales</t>
  </si>
  <si>
    <t>Gross Profit</t>
  </si>
  <si>
    <t>PROFIT AND LOSS STATEMENT - OPERATION EXPENSES</t>
  </si>
  <si>
    <t>Operation Expenses</t>
  </si>
  <si>
    <t>Salaries &amp; Wages</t>
  </si>
  <si>
    <t>Depreciation</t>
  </si>
  <si>
    <t>Rent</t>
  </si>
  <si>
    <t>Office Supplies</t>
  </si>
  <si>
    <t>Utilities</t>
  </si>
  <si>
    <t>Telephone</t>
  </si>
  <si>
    <t>Insurance</t>
  </si>
  <si>
    <t>Travel</t>
  </si>
  <si>
    <t>Maintenance</t>
  </si>
  <si>
    <t>Advertising</t>
  </si>
  <si>
    <t>Other 1</t>
  </si>
  <si>
    <t>Other 2</t>
  </si>
  <si>
    <t>Other 3</t>
  </si>
  <si>
    <t>Total Operation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</si>
</sst>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_);\(&quot;$&quot;#,##0\)"/>
  </numFmts>
  <fonts count="18">
    <font>
      <sz val="11.0"/>
      <color rgb="FFF0F0F0"/>
      <name val="Quattrocento Sans"/>
      <scheme val="minor"/>
    </font>
    <font>
      <sz val="11.0"/>
      <color theme="0"/>
      <name val="Quattrocento Sans"/>
    </font>
    <font>
      <sz val="48.0"/>
      <color rgb="FFFFFFFF"/>
      <name val="Rubik"/>
    </font>
    <font>
      <sz val="12.0"/>
      <color theme="0"/>
      <name val="Rubik"/>
    </font>
    <font/>
    <font>
      <sz val="11.0"/>
      <color rgb="FF414141"/>
      <name val="Rubik"/>
    </font>
    <font>
      <sz val="20.0"/>
      <color rgb="FFFFFFFF"/>
      <name val="Rubik"/>
    </font>
    <font>
      <sz val="48.0"/>
      <color rgb="FFFF00FF"/>
      <name val="Rubik"/>
    </font>
    <font>
      <sz val="11.0"/>
      <color rgb="FF595959"/>
      <name val="Rubik"/>
    </font>
    <font>
      <b/>
      <sz val="11.0"/>
      <color theme="0"/>
      <name val="Rubik"/>
    </font>
    <font>
      <sz val="11.0"/>
      <color theme="0"/>
      <name val="Rubik"/>
    </font>
    <font>
      <b/>
      <sz val="11.0"/>
      <color rgb="FF414141"/>
      <name val="Rubik"/>
    </font>
    <font>
      <sz val="48.0"/>
      <color theme="0"/>
      <name val="Rubik"/>
    </font>
    <font>
      <color theme="1"/>
      <name val="Rubik"/>
    </font>
    <font>
      <sz val="20.0"/>
      <color theme="0"/>
      <name val="Rubik"/>
    </font>
    <font>
      <sz val="11.0"/>
      <color rgb="FFF0F0F0"/>
      <name val="Rubik"/>
    </font>
    <font>
      <b/>
      <sz val="11.0"/>
      <color rgb="FFFFFFFF"/>
      <name val="Rubik"/>
    </font>
    <font>
      <b/>
      <sz val="11.0"/>
      <color rgb="FFF0F0F0"/>
      <name val="Rubik"/>
    </font>
  </fonts>
  <fills count="5">
    <fill>
      <patternFill patternType="none"/>
    </fill>
    <fill>
      <patternFill patternType="lightGray"/>
    </fill>
    <fill>
      <patternFill patternType="solid">
        <fgColor rgb="FF414141"/>
        <bgColor rgb="FF414141"/>
      </patternFill>
    </fill>
    <fill>
      <patternFill patternType="solid">
        <fgColor rgb="FF434343"/>
        <bgColor rgb="FF434343"/>
      </patternFill>
    </fill>
    <fill>
      <patternFill patternType="solid">
        <fgColor rgb="FF20124D"/>
        <bgColor rgb="FF20124D"/>
      </patternFill>
    </fill>
  </fills>
  <borders count="8">
    <border>
      <left/>
      <right/>
      <top/>
      <bottom/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/>
      <right/>
      <top/>
      <bottom style="medium">
        <color rgb="FFFF00FF"/>
      </bottom>
    </border>
    <border/>
  </borders>
  <cellStyleXfs count="1">
    <xf borderId="0" fillId="2" fontId="0" numFmtId="0" applyAlignment="1" applyBorder="1" applyFill="1" applyFont="1"/>
  </cellStyleXfs>
  <cellXfs count="56">
    <xf borderId="0" fillId="2" fontId="0" numFmtId="0" xfId="0" applyAlignment="1" applyBorder="1" applyFill="1" applyFont="1">
      <alignment readingOrder="0" shrinkToFit="0" vertical="center" wrapText="1"/>
    </xf>
    <xf borderId="0" fillId="3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left" readingOrder="0" shrinkToFit="0" vertical="center" wrapText="0"/>
    </xf>
    <xf borderId="2" fillId="3" fontId="3" numFmtId="0" xfId="0" applyAlignment="1" applyBorder="1" applyFont="1">
      <alignment horizontal="left" shrinkToFit="0" vertical="bottom" wrapText="0"/>
    </xf>
    <xf borderId="3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horizontal="right" shrinkToFit="0" vertical="bottom" wrapText="0"/>
    </xf>
    <xf borderId="5" fillId="0" fontId="4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readingOrder="0" shrinkToFit="0" vertical="top" wrapText="0"/>
    </xf>
    <xf borderId="2" fillId="3" fontId="7" numFmtId="164" xfId="0" applyAlignment="1" applyBorder="1" applyFont="1" applyNumberFormat="1">
      <alignment horizontal="right" shrinkToFit="0" vertical="center" wrapText="0"/>
    </xf>
    <xf borderId="2" fillId="3" fontId="8" numFmtId="0" xfId="0" applyAlignment="1" applyBorder="1" applyFont="1">
      <alignment horizontal="center" shrinkToFit="0" vertical="center" wrapText="1"/>
    </xf>
    <xf borderId="0" fillId="3" fontId="1" numFmtId="0" xfId="0" applyAlignment="1" applyBorder="1" applyFont="1">
      <alignment shrinkToFit="0" vertical="bottom" wrapText="1"/>
    </xf>
    <xf borderId="0" fillId="3" fontId="8" numFmtId="0" xfId="0" applyAlignment="1" applyBorder="1" applyFont="1">
      <alignment horizontal="center" shrinkToFit="0" vertical="bottom" wrapText="1"/>
    </xf>
    <xf borderId="6" fillId="3" fontId="9" numFmtId="37" xfId="0" applyAlignment="1" applyBorder="1" applyFont="1" applyNumberFormat="1">
      <alignment shrinkToFit="0" vertical="bottom" wrapText="0"/>
    </xf>
    <xf borderId="6" fillId="3" fontId="9" numFmtId="37" xfId="0" applyAlignment="1" applyBorder="1" applyFont="1" applyNumberFormat="1">
      <alignment horizontal="right" shrinkToFit="0" vertical="bottom" wrapText="0"/>
    </xf>
    <xf borderId="0" fillId="3" fontId="9" numFmtId="0" xfId="0" applyAlignment="1" applyBorder="1" applyFont="1">
      <alignment horizontal="left" shrinkToFit="0" vertical="center" wrapText="0"/>
    </xf>
    <xf borderId="5" fillId="3" fontId="9" numFmtId="165" xfId="0" applyAlignment="1" applyBorder="1" applyFont="1" applyNumberFormat="1">
      <alignment shrinkToFit="0" vertical="center" wrapText="1"/>
    </xf>
    <xf borderId="0" fillId="3" fontId="10" numFmtId="0" xfId="0" applyAlignment="1" applyBorder="1" applyFont="1">
      <alignment horizontal="left" shrinkToFit="0" vertical="center" wrapText="0"/>
    </xf>
    <xf borderId="0" fillId="3" fontId="10" numFmtId="165" xfId="0" applyAlignment="1" applyBorder="1" applyFont="1" applyNumberFormat="1">
      <alignment shrinkToFit="0" vertical="center" wrapText="0"/>
    </xf>
    <xf borderId="0" fillId="3" fontId="10" numFmtId="165" xfId="0" applyAlignment="1" applyBorder="1" applyFont="1" applyNumberFormat="1">
      <alignment horizontal="right" shrinkToFit="0" vertical="center" wrapText="0"/>
    </xf>
    <xf borderId="0" fillId="3" fontId="9" numFmtId="165" xfId="0" applyAlignment="1" applyBorder="1" applyFont="1" applyNumberFormat="1">
      <alignment shrinkToFit="0" vertical="center" wrapText="0"/>
    </xf>
    <xf borderId="0" fillId="3" fontId="9" numFmtId="165" xfId="0" applyAlignment="1" applyBorder="1" applyFont="1" applyNumberFormat="1">
      <alignment horizontal="right" shrinkToFit="0" vertical="center" wrapText="0"/>
    </xf>
    <xf borderId="0" fillId="3" fontId="11" numFmtId="0" xfId="0" applyAlignment="1" applyBorder="1" applyFont="1">
      <alignment horizontal="left" shrinkToFit="0" vertical="center" wrapText="0"/>
    </xf>
    <xf borderId="0" fillId="3" fontId="11" numFmtId="165" xfId="0" applyAlignment="1" applyBorder="1" applyFont="1" applyNumberFormat="1">
      <alignment shrinkToFit="0" vertical="center" wrapText="0"/>
    </xf>
    <xf borderId="0" fillId="3" fontId="11" numFmtId="165" xfId="0" applyAlignment="1" applyBorder="1" applyFont="1" applyNumberFormat="1">
      <alignment horizontal="right" shrinkToFit="0" vertical="center" wrapText="0"/>
    </xf>
    <xf borderId="0" fillId="3" fontId="10" numFmtId="165" xfId="0" applyAlignment="1" applyBorder="1" applyFont="1" applyNumberFormat="1">
      <alignment shrinkToFit="0" vertical="center" wrapText="1"/>
    </xf>
    <xf borderId="1" fillId="3" fontId="12" numFmtId="0" xfId="0" applyAlignment="1" applyBorder="1" applyFont="1">
      <alignment horizontal="left" shrinkToFit="0" vertical="center" wrapText="0"/>
    </xf>
    <xf borderId="7" fillId="3" fontId="13" numFmtId="0" xfId="0" applyAlignment="1" applyFont="1">
      <alignment shrinkToFit="0" vertical="center" wrapText="1"/>
    </xf>
    <xf borderId="0" fillId="3" fontId="10" numFmtId="0" xfId="0" applyAlignment="1" applyBorder="1" applyFont="1">
      <alignment shrinkToFit="0" vertical="center" wrapText="1"/>
    </xf>
    <xf borderId="2" fillId="3" fontId="14" numFmtId="0" xfId="0" applyAlignment="1" applyBorder="1" applyFont="1">
      <alignment shrinkToFit="0" vertical="top" wrapText="0"/>
    </xf>
    <xf borderId="0" fillId="3" fontId="10" numFmtId="0" xfId="0" applyAlignment="1" applyBorder="1" applyFont="1">
      <alignment shrinkToFit="0" vertical="bottom" wrapText="1"/>
    </xf>
    <xf borderId="0" fillId="3" fontId="15" numFmtId="0" xfId="0" applyAlignment="1" applyBorder="1" applyFont="1">
      <alignment shrinkToFit="0" vertical="bottom" wrapText="1"/>
    </xf>
    <xf borderId="0" fillId="3" fontId="15" numFmtId="165" xfId="0" applyAlignment="1" applyBorder="1" applyFont="1" applyNumberFormat="1">
      <alignment horizontal="right" shrinkToFit="0" vertical="bottom" wrapText="1"/>
    </xf>
    <xf borderId="0" fillId="3" fontId="15" numFmtId="0" xfId="0" applyAlignment="1" applyBorder="1" applyFont="1">
      <alignment horizontal="right" shrinkToFit="0" vertical="bottom" wrapText="1"/>
    </xf>
    <xf borderId="0" fillId="3" fontId="15" numFmtId="0" xfId="0" applyAlignment="1" applyBorder="1" applyFont="1">
      <alignment shrinkToFit="0" vertical="center" wrapText="1"/>
    </xf>
    <xf borderId="0" fillId="3" fontId="15" numFmtId="165" xfId="0" applyAlignment="1" applyBorder="1" applyFont="1" applyNumberFormat="1">
      <alignment readingOrder="0" shrinkToFit="0" vertical="center" wrapText="1"/>
    </xf>
    <xf borderId="0" fillId="3" fontId="15" numFmtId="165" xfId="0" applyAlignment="1" applyBorder="1" applyFont="1" applyNumberFormat="1">
      <alignment shrinkToFit="0" vertical="center" wrapText="1"/>
    </xf>
    <xf borderId="0" fillId="4" fontId="16" numFmtId="0" xfId="0" applyAlignment="1" applyBorder="1" applyFill="1" applyFont="1">
      <alignment horizontal="left" shrinkToFit="0" vertical="center" wrapText="0"/>
    </xf>
    <xf borderId="0" fillId="4" fontId="16" numFmtId="165" xfId="0" applyAlignment="1" applyBorder="1" applyFont="1" applyNumberFormat="1">
      <alignment shrinkToFit="0" vertical="center" wrapText="0"/>
    </xf>
    <xf borderId="0" fillId="2" fontId="10" numFmtId="0" xfId="0" applyAlignment="1" applyBorder="1" applyFill="1" applyFont="1">
      <alignment shrinkToFit="0" vertical="center" wrapText="1"/>
    </xf>
    <xf borderId="1" fillId="2" fontId="12" numFmtId="0" xfId="0" applyAlignment="1" applyBorder="1" applyFont="1">
      <alignment horizontal="left" shrinkToFit="0" vertical="center" wrapText="0"/>
    </xf>
    <xf borderId="2" fillId="2" fontId="3" numFmtId="0" xfId="0" applyAlignment="1" applyBorder="1" applyFont="1">
      <alignment horizontal="left" shrinkToFit="0" vertical="bottom" wrapText="0"/>
    </xf>
    <xf borderId="2" fillId="2" fontId="14" numFmtId="0" xfId="0" applyAlignment="1" applyBorder="1" applyFont="1">
      <alignment shrinkToFit="0" vertical="top" wrapText="0"/>
    </xf>
    <xf borderId="6" fillId="2" fontId="10" numFmtId="0" xfId="0" applyAlignment="1" applyBorder="1" applyFont="1">
      <alignment shrinkToFit="0" vertical="bottom" wrapText="1"/>
    </xf>
    <xf borderId="6" fillId="2" fontId="15" numFmtId="0" xfId="0" applyAlignment="1" applyBorder="1" applyFont="1">
      <alignment shrinkToFit="0" vertical="bottom" wrapText="1"/>
    </xf>
    <xf borderId="6" fillId="2" fontId="17" numFmtId="0" xfId="0" applyAlignment="1" applyBorder="1" applyFont="1">
      <alignment horizontal="right" shrinkToFit="0" vertical="bottom" wrapText="1"/>
    </xf>
    <xf borderId="5" fillId="2" fontId="10" numFmtId="0" xfId="0" applyAlignment="1" applyBorder="1" applyFont="1">
      <alignment shrinkToFit="0" vertical="center" wrapText="1"/>
    </xf>
    <xf borderId="5" fillId="2" fontId="15" numFmtId="0" xfId="0" applyAlignment="1" applyBorder="1" applyFont="1">
      <alignment horizontal="left" shrinkToFit="0" vertical="center" wrapText="0"/>
    </xf>
    <xf borderId="5" fillId="2" fontId="15" numFmtId="165" xfId="0" applyAlignment="1" applyBorder="1" applyFont="1" applyNumberFormat="1">
      <alignment readingOrder="0" shrinkToFit="0" vertical="center" wrapText="0"/>
    </xf>
    <xf borderId="5" fillId="2" fontId="15" numFmtId="165" xfId="0" applyAlignment="1" applyBorder="1" applyFont="1" applyNumberFormat="1">
      <alignment horizontal="right" shrinkToFit="0" vertical="center" wrapText="0"/>
    </xf>
    <xf borderId="0" fillId="2" fontId="15" numFmtId="0" xfId="0" applyAlignment="1" applyBorder="1" applyFont="1">
      <alignment horizontal="left" shrinkToFit="0" vertical="center" wrapText="0"/>
    </xf>
    <xf borderId="0" fillId="2" fontId="15" numFmtId="165" xfId="0" applyAlignment="1" applyBorder="1" applyFont="1" applyNumberFormat="1">
      <alignment shrinkToFit="0" vertical="center" wrapText="0"/>
    </xf>
    <xf borderId="0" fillId="2" fontId="15" numFmtId="165" xfId="0" applyAlignment="1" applyBorder="1" applyFont="1" applyNumberFormat="1">
      <alignment horizontal="right" shrinkToFit="0" vertical="center" wrapText="0"/>
    </xf>
    <xf borderId="0" fillId="2" fontId="15" numFmtId="165" xfId="0" applyAlignment="1" applyBorder="1" applyFont="1" applyNumberFormat="1">
      <alignment readingOrder="0" shrinkToFit="0" vertical="center" wrapText="0"/>
    </xf>
    <xf borderId="7" fillId="2" fontId="15" numFmtId="165" xfId="0" applyAlignment="1" applyFont="1" applyNumberFormat="1">
      <alignment horizontal="right" shrinkToFit="0" vertical="center" wrapText="0"/>
    </xf>
    <xf borderId="0" fillId="2" fontId="5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4253588492461902"/>
          <c:y val="0.09930841978086073"/>
          <c:w val="0.8628625258035212"/>
          <c:h val="0.7484731075282256"/>
        </c:manualLayout>
      </c:layout>
      <c:lineChart>
        <c:ser>
          <c:idx val="0"/>
          <c:order val="0"/>
          <c:tx>
            <c:v>Gross Profit</c:v>
          </c:tx>
          <c:spPr>
            <a:ln cmpd="sng" w="28575">
              <a:solidFill>
                <a:srgbClr val="351C7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351C75">
                  <a:alpha val="100000"/>
                </a:srgbClr>
              </a:solidFill>
              <a:ln cmpd="sng">
                <a:solidFill>
                  <a:srgbClr val="351C75">
                    <a:alpha val="100000"/>
                  </a:srgbClr>
                </a:solidFill>
              </a:ln>
            </c:spPr>
          </c:marker>
          <c:val>
            <c:numRef>
              <c:f>Revenue!$C$11:$N$11</c:f>
              <c:numCache/>
            </c:numRef>
          </c:val>
          <c:smooth val="0"/>
        </c:ser>
        <c:ser>
          <c:idx val="1"/>
          <c:order val="1"/>
          <c:tx>
            <c:v>Total Operation Expenses</c:v>
          </c:tx>
          <c:spPr>
            <a:ln cmpd="sng" w="28575">
              <a:solidFill>
                <a:srgbClr val="FF00FF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val>
            <c:numRef>
              <c:f>'Operation Expenses'!$C$17:$N$17</c:f>
              <c:numCache/>
            </c:numRef>
          </c:val>
          <c:smooth val="0"/>
        </c:ser>
        <c:axId val="2038921445"/>
        <c:axId val="780295644"/>
      </c:lineChart>
      <c:catAx>
        <c:axId val="2038921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295644"/>
      </c:catAx>
      <c:valAx>
        <c:axId val="7802956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921445"/>
      </c:valAx>
    </c:plotArea>
    <c:legend>
      <c:legendPos val="r"/>
      <c:layout>
        <c:manualLayout>
          <c:xMode val="edge"/>
          <c:yMode val="edge"/>
          <c:x val="0.8570928544453432"/>
          <c:y val="0.12393117526975794"/>
        </c:manualLayout>
      </c:layout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85725</xdr:rowOff>
    </xdr:from>
    <xdr:ext cx="10648950" cy="1200150"/>
    <xdr:graphicFrame>
      <xdr:nvGraphicFramePr>
        <xdr:cNvPr descr="Line chart showing Gross Profit and Total Operation Expenses" id="90372038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4CADA"/>
      </a:accent1>
      <a:accent2>
        <a:srgbClr val="92CC46"/>
      </a:accent2>
      <a:accent3>
        <a:srgbClr val="F1603D"/>
      </a:accent3>
      <a:accent4>
        <a:srgbClr val="8F919E"/>
      </a:accent4>
      <a:accent5>
        <a:srgbClr val="8D77FB"/>
      </a:accent5>
      <a:accent6>
        <a:srgbClr val="5B7799"/>
      </a:accent6>
      <a:hlink>
        <a:srgbClr val="0563C1"/>
      </a:hlink>
      <a:folHlink>
        <a:srgbClr val="0563C1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9.88"/>
    <col customWidth="1" min="3" max="14" width="10.0"/>
    <col customWidth="1" min="15" max="15" width="20.25"/>
  </cols>
  <sheetData>
    <row r="1" ht="30.0" customHeight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4"/>
      <c r="O1" s="5"/>
    </row>
    <row r="2" ht="64.5" customHeight="1">
      <c r="A2" s="1"/>
      <c r="B2" s="7"/>
      <c r="C2" s="8" t="s">
        <v>3</v>
      </c>
      <c r="D2" s="4"/>
      <c r="E2" s="4"/>
      <c r="F2" s="4"/>
      <c r="G2" s="4"/>
      <c r="H2" s="4"/>
      <c r="I2" s="4"/>
      <c r="J2" s="4"/>
      <c r="K2" s="5"/>
      <c r="L2" s="9">
        <f>NetIncome</f>
        <v>150617.84</v>
      </c>
      <c r="M2" s="4"/>
      <c r="N2" s="4"/>
      <c r="O2" s="5"/>
    </row>
    <row r="3" ht="105.0" customHeight="1">
      <c r="A3" s="1"/>
      <c r="B3" s="10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ht="39.75" customHeight="1">
      <c r="A4" s="11"/>
      <c r="B4" s="12"/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4" t="s">
        <v>17</v>
      </c>
    </row>
    <row r="5" ht="30.0" customHeight="1">
      <c r="A5" s="1"/>
      <c r="B5" s="15" t="s">
        <v>18</v>
      </c>
      <c r="C5" s="16">
        <f>IFERROR(Revenue!C11-'Operation Expenses'!$C$17,"")</f>
        <v>13750</v>
      </c>
      <c r="D5" s="16">
        <f>IFERROR(Revenue!D11-'Operation Expenses'!$D$17,"")</f>
        <v>12927.5</v>
      </c>
      <c r="E5" s="16">
        <f>IFERROR(Revenue!E11-'Operation Expenses'!$E$17,"")</f>
        <v>13114.62</v>
      </c>
      <c r="F5" s="16">
        <f>IFERROR(Revenue!F11-'Operation Expenses'!$F$17,"")</f>
        <v>12787.25</v>
      </c>
      <c r="G5" s="16">
        <f>IFERROR(Revenue!G11-'Operation Expenses'!$G$17,"")</f>
        <v>12208.27</v>
      </c>
      <c r="H5" s="16">
        <f>IFERROR(Revenue!H11-'Operation Expenses'!$H$17,"")</f>
        <v>13207.6</v>
      </c>
      <c r="I5" s="16">
        <f>IFERROR(Revenue!I11-'Operation Expenses'!$I$17,"")</f>
        <v>11842.45</v>
      </c>
      <c r="J5" s="16">
        <f>IFERROR(Revenue!J11-'Operation Expenses'!$J$17,"")</f>
        <v>19819.32</v>
      </c>
      <c r="K5" s="16">
        <f>IFERROR(Revenue!K11-'Operation Expenses'!$K$17,"")</f>
        <v>18495.04</v>
      </c>
      <c r="L5" s="16">
        <f>IFERROR(Revenue!L11-'Operation Expenses'!$L$17,"")</f>
        <v>11469.54</v>
      </c>
      <c r="M5" s="16">
        <f>IFERROR(Revenue!M11-'Operation Expenses'!$M$17,"")</f>
        <v>18442.78</v>
      </c>
      <c r="N5" s="16">
        <f>IFERROR(Revenue!N11-'Operation Expenses'!$N$17,"")</f>
        <v>12667.67</v>
      </c>
      <c r="O5" s="16">
        <f>IFERROR(Revenue!O11-'Operation Expenses'!$O$17,"")</f>
        <v>170732.04</v>
      </c>
    </row>
    <row r="6" ht="30.0" customHeight="1">
      <c r="A6" s="1"/>
      <c r="B6" s="17" t="s">
        <v>19</v>
      </c>
      <c r="C6" s="18">
        <v>-100.0</v>
      </c>
      <c r="D6" s="18">
        <v>-105.0</v>
      </c>
      <c r="E6" s="18">
        <v>-110.25</v>
      </c>
      <c r="F6" s="18">
        <v>-115.76</v>
      </c>
      <c r="G6" s="18">
        <v>-121.55</v>
      </c>
      <c r="H6" s="18">
        <v>-127.63</v>
      </c>
      <c r="I6" s="18">
        <v>-134.01</v>
      </c>
      <c r="J6" s="18"/>
      <c r="K6" s="18"/>
      <c r="L6" s="18"/>
      <c r="M6" s="18"/>
      <c r="N6" s="18"/>
      <c r="O6" s="19">
        <f t="shared" ref="O6:O8" si="2">SUM(C6:N6)</f>
        <v>-814.2</v>
      </c>
    </row>
    <row r="7" ht="30.0" customHeight="1">
      <c r="A7" s="1"/>
      <c r="B7" s="15" t="s">
        <v>20</v>
      </c>
      <c r="C7" s="20">
        <f t="shared" ref="C7:N7" si="1">IFERROR(C5+C6,"")</f>
        <v>13650</v>
      </c>
      <c r="D7" s="20">
        <f t="shared" si="1"/>
        <v>12822.5</v>
      </c>
      <c r="E7" s="20">
        <f t="shared" si="1"/>
        <v>13004.37</v>
      </c>
      <c r="F7" s="20">
        <f t="shared" si="1"/>
        <v>12671.49</v>
      </c>
      <c r="G7" s="20">
        <f t="shared" si="1"/>
        <v>12086.72</v>
      </c>
      <c r="H7" s="20">
        <f t="shared" si="1"/>
        <v>13079.97</v>
      </c>
      <c r="I7" s="20">
        <f t="shared" si="1"/>
        <v>11708.44</v>
      </c>
      <c r="J7" s="20">
        <f t="shared" si="1"/>
        <v>19819.32</v>
      </c>
      <c r="K7" s="20">
        <f t="shared" si="1"/>
        <v>18495.04</v>
      </c>
      <c r="L7" s="20">
        <f t="shared" si="1"/>
        <v>11469.54</v>
      </c>
      <c r="M7" s="20">
        <f t="shared" si="1"/>
        <v>18442.78</v>
      </c>
      <c r="N7" s="20">
        <f t="shared" si="1"/>
        <v>12667.67</v>
      </c>
      <c r="O7" s="21">
        <f t="shared" si="2"/>
        <v>169917.84</v>
      </c>
    </row>
    <row r="8" ht="30.0" customHeight="1">
      <c r="A8" s="1"/>
      <c r="B8" s="17" t="s">
        <v>21</v>
      </c>
      <c r="C8" s="18">
        <v>2400.0</v>
      </c>
      <c r="D8" s="18">
        <v>2500.0</v>
      </c>
      <c r="E8" s="18">
        <v>2600.0</v>
      </c>
      <c r="F8" s="18">
        <v>2700.0</v>
      </c>
      <c r="G8" s="18">
        <v>2900.0</v>
      </c>
      <c r="H8" s="18">
        <v>3000.0</v>
      </c>
      <c r="I8" s="18">
        <v>3200.0</v>
      </c>
      <c r="J8" s="18"/>
      <c r="K8" s="18"/>
      <c r="L8" s="18"/>
      <c r="M8" s="18"/>
      <c r="N8" s="18"/>
      <c r="O8" s="19">
        <f t="shared" si="2"/>
        <v>19300</v>
      </c>
    </row>
    <row r="9" ht="30.0" customHeight="1">
      <c r="A9" s="1"/>
      <c r="B9" s="22" t="s">
        <v>22</v>
      </c>
      <c r="C9" s="23">
        <f t="shared" ref="C9:O9" si="3">IFERROR(C7-C8,"")</f>
        <v>11250</v>
      </c>
      <c r="D9" s="23">
        <f t="shared" si="3"/>
        <v>10322.5</v>
      </c>
      <c r="E9" s="23">
        <f t="shared" si="3"/>
        <v>10404.37</v>
      </c>
      <c r="F9" s="23">
        <f t="shared" si="3"/>
        <v>9971.49</v>
      </c>
      <c r="G9" s="23">
        <f t="shared" si="3"/>
        <v>9186.72</v>
      </c>
      <c r="H9" s="23">
        <f t="shared" si="3"/>
        <v>10079.97</v>
      </c>
      <c r="I9" s="23">
        <f t="shared" si="3"/>
        <v>8508.44</v>
      </c>
      <c r="J9" s="23">
        <f t="shared" si="3"/>
        <v>19819.32</v>
      </c>
      <c r="K9" s="23">
        <f t="shared" si="3"/>
        <v>18495.04</v>
      </c>
      <c r="L9" s="23">
        <f t="shared" si="3"/>
        <v>11469.54</v>
      </c>
      <c r="M9" s="23">
        <f t="shared" si="3"/>
        <v>18442.78</v>
      </c>
      <c r="N9" s="23">
        <f t="shared" si="3"/>
        <v>12667.67</v>
      </c>
      <c r="O9" s="24">
        <f t="shared" si="3"/>
        <v>150617.84</v>
      </c>
    </row>
  </sheetData>
  <mergeCells count="6">
    <mergeCell ref="B1:B2"/>
    <mergeCell ref="C1:K1"/>
    <mergeCell ref="L1:O1"/>
    <mergeCell ref="C2:K2"/>
    <mergeCell ref="L2:O2"/>
    <mergeCell ref="B3:O3"/>
  </mergeCells>
  <printOptions horizontalCentered="1"/>
  <pageMargins bottom="0.75" footer="0.0" header="0.0" left="0.25" right="0.25" top="0.75"/>
  <pageSetup fitToHeight="0" orientation="landscape"/>
  <headerFooter>
    <oddFooter>&amp;C03+000Page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9.88"/>
    <col customWidth="1" min="3" max="14" width="10.0"/>
    <col customWidth="1" min="15" max="15" width="20.25"/>
  </cols>
  <sheetData>
    <row r="1" ht="30.0" customHeight="1">
      <c r="A1" s="25"/>
      <c r="B1" s="26" t="str">
        <f>'Operation Expenses'!B1:B2</f>
        <v>{YEAR}</v>
      </c>
      <c r="C1" s="3" t="s">
        <v>23</v>
      </c>
      <c r="D1" s="4"/>
      <c r="E1" s="4"/>
      <c r="F1" s="4"/>
      <c r="G1" s="4"/>
      <c r="H1" s="4"/>
      <c r="I1" s="4"/>
      <c r="J1" s="4"/>
      <c r="K1" s="5"/>
      <c r="L1" s="27"/>
      <c r="M1" s="27"/>
      <c r="N1" s="27"/>
      <c r="O1" s="27"/>
    </row>
    <row r="2" ht="64.5" customHeight="1">
      <c r="A2" s="28"/>
      <c r="B2" s="7"/>
      <c r="C2" s="29" t="str">
        <f>'Profit and Loss'!C2:K2</f>
        <v>{COMPANY NAME}</v>
      </c>
      <c r="D2" s="4"/>
      <c r="E2" s="4"/>
      <c r="F2" s="4"/>
      <c r="G2" s="4"/>
      <c r="H2" s="4"/>
      <c r="I2" s="4"/>
      <c r="J2" s="4"/>
      <c r="K2" s="5"/>
      <c r="L2" s="27"/>
      <c r="M2" s="27"/>
      <c r="N2" s="27"/>
      <c r="O2" s="27"/>
    </row>
    <row r="3" ht="30.0" customHeight="1">
      <c r="A3" s="30"/>
      <c r="B3" s="31" t="s">
        <v>24</v>
      </c>
      <c r="C3" s="32" t="s">
        <v>5</v>
      </c>
      <c r="D3" s="32" t="s">
        <v>6</v>
      </c>
      <c r="E3" s="32" t="s">
        <v>7</v>
      </c>
      <c r="F3" s="32" t="s">
        <v>8</v>
      </c>
      <c r="G3" s="32" t="s">
        <v>9</v>
      </c>
      <c r="H3" s="32" t="s">
        <v>10</v>
      </c>
      <c r="I3" s="32" t="s">
        <v>11</v>
      </c>
      <c r="J3" s="32" t="s">
        <v>12</v>
      </c>
      <c r="K3" s="32" t="s">
        <v>13</v>
      </c>
      <c r="L3" s="33" t="s">
        <v>14</v>
      </c>
      <c r="M3" s="33" t="s">
        <v>15</v>
      </c>
      <c r="N3" s="33" t="s">
        <v>16</v>
      </c>
      <c r="O3" s="33" t="s">
        <v>17</v>
      </c>
    </row>
    <row r="4" ht="30.0" customHeight="1">
      <c r="A4" s="28"/>
      <c r="B4" s="34" t="s">
        <v>25</v>
      </c>
      <c r="C4" s="35">
        <v>25000.0</v>
      </c>
      <c r="D4" s="35">
        <v>25000.0</v>
      </c>
      <c r="E4" s="35">
        <v>25000.0</v>
      </c>
      <c r="F4" s="35">
        <v>25000.0</v>
      </c>
      <c r="G4" s="35">
        <v>25000.0</v>
      </c>
      <c r="H4" s="35">
        <v>25000.0</v>
      </c>
      <c r="I4" s="35">
        <v>25000.0</v>
      </c>
      <c r="J4" s="35">
        <v>25000.0</v>
      </c>
      <c r="K4" s="35">
        <v>25000.0</v>
      </c>
      <c r="L4" s="35">
        <v>25000.0</v>
      </c>
      <c r="M4" s="35">
        <v>25000.0</v>
      </c>
      <c r="N4" s="35">
        <v>25000.0</v>
      </c>
      <c r="O4" s="36">
        <f t="shared" ref="O4:O9" si="1">SUM(C4:N4)</f>
        <v>300000</v>
      </c>
    </row>
    <row r="5" ht="30.0" customHeight="1">
      <c r="A5" s="28"/>
      <c r="B5" s="34" t="s">
        <v>26</v>
      </c>
      <c r="C5" s="36">
        <v>0.0</v>
      </c>
      <c r="D5" s="36">
        <v>-500.0</v>
      </c>
      <c r="E5" s="36">
        <v>0.0</v>
      </c>
      <c r="F5" s="36">
        <v>0.0</v>
      </c>
      <c r="G5" s="36">
        <v>-234.0</v>
      </c>
      <c r="H5" s="36">
        <v>0.0</v>
      </c>
      <c r="I5" s="36">
        <v>0.0</v>
      </c>
      <c r="J5" s="36">
        <v>-300.0</v>
      </c>
      <c r="K5" s="36">
        <v>0.0</v>
      </c>
      <c r="L5" s="36">
        <v>-300.0</v>
      </c>
      <c r="M5" s="36">
        <v>0.0</v>
      </c>
      <c r="N5" s="36">
        <v>-234.0</v>
      </c>
      <c r="O5" s="36">
        <f t="shared" si="1"/>
        <v>-1568</v>
      </c>
    </row>
    <row r="6" ht="30.0" customHeight="1">
      <c r="A6" s="28"/>
      <c r="B6" s="34" t="s">
        <v>27</v>
      </c>
      <c r="C6" s="36">
        <v>-5000.0</v>
      </c>
      <c r="D6" s="36">
        <v>-5250.0</v>
      </c>
      <c r="E6" s="36">
        <v>-5513.0</v>
      </c>
      <c r="F6" s="36">
        <v>-5788.0</v>
      </c>
      <c r="G6" s="36">
        <v>-6078.0</v>
      </c>
      <c r="H6" s="36">
        <v>-5324.0</v>
      </c>
      <c r="I6" s="36">
        <v>-6700.0</v>
      </c>
      <c r="J6" s="36">
        <v>-400.0</v>
      </c>
      <c r="K6" s="36">
        <v>0.0</v>
      </c>
      <c r="L6" s="36">
        <v>-6700.0</v>
      </c>
      <c r="M6" s="36">
        <v>0.0</v>
      </c>
      <c r="N6" s="36">
        <v>-5513.0</v>
      </c>
      <c r="O6" s="36">
        <f t="shared" si="1"/>
        <v>-52266</v>
      </c>
    </row>
    <row r="7" ht="30.0" customHeight="1">
      <c r="A7" s="28"/>
      <c r="B7" s="34" t="s">
        <v>28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>
        <v>0.0</v>
      </c>
      <c r="J7" s="36">
        <v>2000.0</v>
      </c>
      <c r="K7" s="36">
        <v>0.0</v>
      </c>
      <c r="L7" s="36">
        <v>0.0</v>
      </c>
      <c r="M7" s="36">
        <v>0.0</v>
      </c>
      <c r="N7" s="36">
        <v>0.0</v>
      </c>
      <c r="O7" s="36">
        <f t="shared" si="1"/>
        <v>2000</v>
      </c>
    </row>
    <row r="8" ht="30.0" customHeight="1">
      <c r="A8" s="28"/>
      <c r="B8" s="34" t="s">
        <v>29</v>
      </c>
      <c r="C8" s="36">
        <v>0.0</v>
      </c>
      <c r="D8" s="36">
        <v>0.0</v>
      </c>
      <c r="E8" s="36">
        <v>0.0</v>
      </c>
      <c r="F8" s="36">
        <v>0.0</v>
      </c>
      <c r="G8" s="36">
        <v>0.0</v>
      </c>
      <c r="H8" s="36">
        <v>0.0</v>
      </c>
      <c r="I8" s="36">
        <v>0.0</v>
      </c>
      <c r="J8" s="36">
        <v>0.0</v>
      </c>
      <c r="K8" s="36">
        <v>0.0</v>
      </c>
      <c r="L8" s="36">
        <v>0.0</v>
      </c>
      <c r="M8" s="36">
        <v>0.0</v>
      </c>
      <c r="N8" s="36">
        <v>0.0</v>
      </c>
      <c r="O8" s="36">
        <f t="shared" si="1"/>
        <v>0</v>
      </c>
    </row>
    <row r="9" ht="30.0" customHeight="1">
      <c r="A9" s="28"/>
      <c r="B9" s="34" t="s">
        <v>30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0.0</v>
      </c>
      <c r="J9" s="36">
        <v>0.0</v>
      </c>
      <c r="K9" s="36">
        <v>0.0</v>
      </c>
      <c r="L9" s="36">
        <v>0.0</v>
      </c>
      <c r="M9" s="36">
        <v>0.0</v>
      </c>
      <c r="N9" s="36">
        <v>0.0</v>
      </c>
      <c r="O9" s="36">
        <f t="shared" si="1"/>
        <v>0</v>
      </c>
    </row>
    <row r="10" ht="30.0" customHeight="1">
      <c r="A10" s="28"/>
      <c r="B10" s="34" t="s">
        <v>31</v>
      </c>
      <c r="C10" s="36">
        <f t="shared" ref="C10:N10" si="2">IF(SUM(C3:C8)=0,"",SUM(C3:C8))</f>
        <v>20000</v>
      </c>
      <c r="D10" s="36">
        <f t="shared" si="2"/>
        <v>19250</v>
      </c>
      <c r="E10" s="36">
        <f t="shared" si="2"/>
        <v>19487</v>
      </c>
      <c r="F10" s="36">
        <f t="shared" si="2"/>
        <v>19212</v>
      </c>
      <c r="G10" s="36">
        <f t="shared" si="2"/>
        <v>18688</v>
      </c>
      <c r="H10" s="36">
        <f t="shared" si="2"/>
        <v>19676</v>
      </c>
      <c r="I10" s="36">
        <f t="shared" si="2"/>
        <v>18300</v>
      </c>
      <c r="J10" s="36">
        <f t="shared" si="2"/>
        <v>26300</v>
      </c>
      <c r="K10" s="36">
        <f t="shared" si="2"/>
        <v>25000</v>
      </c>
      <c r="L10" s="36">
        <f t="shared" si="2"/>
        <v>18000</v>
      </c>
      <c r="M10" s="36">
        <f t="shared" si="2"/>
        <v>25000</v>
      </c>
      <c r="N10" s="36">
        <f t="shared" si="2"/>
        <v>19253</v>
      </c>
      <c r="O10" s="36">
        <f>SUBTOTAL(109,Revenue!$O$4:$O$9)</f>
        <v>248166</v>
      </c>
    </row>
    <row r="11" ht="30.0" customHeight="1">
      <c r="A11" s="28"/>
      <c r="B11" s="37" t="s">
        <v>32</v>
      </c>
      <c r="C11" s="38">
        <f t="shared" ref="C11:O11" si="3">C10</f>
        <v>20000</v>
      </c>
      <c r="D11" s="38">
        <f t="shared" si="3"/>
        <v>19250</v>
      </c>
      <c r="E11" s="38">
        <f t="shared" si="3"/>
        <v>19487</v>
      </c>
      <c r="F11" s="38">
        <f t="shared" si="3"/>
        <v>19212</v>
      </c>
      <c r="G11" s="38">
        <f t="shared" si="3"/>
        <v>18688</v>
      </c>
      <c r="H11" s="38">
        <f t="shared" si="3"/>
        <v>19676</v>
      </c>
      <c r="I11" s="38">
        <f t="shared" si="3"/>
        <v>18300</v>
      </c>
      <c r="J11" s="38">
        <f t="shared" si="3"/>
        <v>26300</v>
      </c>
      <c r="K11" s="38">
        <f t="shared" si="3"/>
        <v>25000</v>
      </c>
      <c r="L11" s="38">
        <f t="shared" si="3"/>
        <v>18000</v>
      </c>
      <c r="M11" s="38">
        <f t="shared" si="3"/>
        <v>25000</v>
      </c>
      <c r="N11" s="38">
        <f t="shared" si="3"/>
        <v>19253</v>
      </c>
      <c r="O11" s="38">
        <f t="shared" si="3"/>
        <v>248166</v>
      </c>
    </row>
  </sheetData>
  <mergeCells count="3">
    <mergeCell ref="B1:B2"/>
    <mergeCell ref="C1:K1"/>
    <mergeCell ref="C2:K2"/>
  </mergeCells>
  <printOptions horizontalCentered="1"/>
  <pageMargins bottom="0.75" footer="0.0" header="0.0" left="0.25" right="0.25" top="0.75"/>
  <pageSetup fitToHeight="0" orientation="landscape"/>
  <headerFooter>
    <oddFooter>&amp;C03+000Page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9.88"/>
    <col customWidth="1" min="3" max="14" width="10.0"/>
    <col customWidth="1" min="15" max="15" width="20.25"/>
  </cols>
  <sheetData>
    <row r="1" ht="30.0" customHeight="1">
      <c r="A1" s="39"/>
      <c r="B1" s="40" t="str">
        <f>'Profit and Loss'!B1:B2</f>
        <v>{YEAR}</v>
      </c>
      <c r="C1" s="41" t="s">
        <v>33</v>
      </c>
      <c r="D1" s="4"/>
      <c r="E1" s="4"/>
      <c r="F1" s="4"/>
      <c r="G1" s="4"/>
      <c r="H1" s="4"/>
      <c r="I1" s="4"/>
      <c r="J1" s="4"/>
      <c r="K1" s="5"/>
      <c r="L1" s="27"/>
      <c r="M1" s="27"/>
      <c r="N1" s="27"/>
      <c r="O1" s="27"/>
    </row>
    <row r="2" ht="64.5" customHeight="1">
      <c r="A2" s="39"/>
      <c r="B2" s="7"/>
      <c r="C2" s="42" t="str">
        <f>'Profit and Loss'!C2:K2</f>
        <v>{COMPANY NAME}</v>
      </c>
      <c r="D2" s="4"/>
      <c r="E2" s="4"/>
      <c r="F2" s="4"/>
      <c r="G2" s="4"/>
      <c r="H2" s="4"/>
      <c r="I2" s="4"/>
      <c r="J2" s="4"/>
      <c r="K2" s="5"/>
      <c r="L2" s="27"/>
      <c r="M2" s="27"/>
      <c r="N2" s="27"/>
      <c r="O2" s="27"/>
    </row>
    <row r="3" ht="30.0" customHeight="1">
      <c r="A3" s="43"/>
      <c r="B3" s="44" t="s">
        <v>34</v>
      </c>
      <c r="C3" s="45" t="s">
        <v>5</v>
      </c>
      <c r="D3" s="45" t="s">
        <v>6</v>
      </c>
      <c r="E3" s="45" t="s">
        <v>7</v>
      </c>
      <c r="F3" s="45" t="s">
        <v>8</v>
      </c>
      <c r="G3" s="45" t="s">
        <v>9</v>
      </c>
      <c r="H3" s="45" t="s">
        <v>10</v>
      </c>
      <c r="I3" s="45" t="s">
        <v>11</v>
      </c>
      <c r="J3" s="45" t="s">
        <v>12</v>
      </c>
      <c r="K3" s="45" t="s">
        <v>13</v>
      </c>
      <c r="L3" s="45" t="s">
        <v>14</v>
      </c>
      <c r="M3" s="45" t="s">
        <v>15</v>
      </c>
      <c r="N3" s="45" t="s">
        <v>16</v>
      </c>
      <c r="O3" s="45" t="s">
        <v>17</v>
      </c>
    </row>
    <row r="4" ht="30.0" customHeight="1">
      <c r="A4" s="46"/>
      <c r="B4" s="47" t="s">
        <v>35</v>
      </c>
      <c r="C4" s="48">
        <v>5000.0</v>
      </c>
      <c r="D4" s="48">
        <v>5000.0</v>
      </c>
      <c r="E4" s="48">
        <v>5000.0</v>
      </c>
      <c r="F4" s="48">
        <v>5000.0</v>
      </c>
      <c r="G4" s="48">
        <v>5000.0</v>
      </c>
      <c r="H4" s="48">
        <v>5000.0</v>
      </c>
      <c r="I4" s="48">
        <v>5000.0</v>
      </c>
      <c r="J4" s="48">
        <v>5000.0</v>
      </c>
      <c r="K4" s="48">
        <v>5000.0</v>
      </c>
      <c r="L4" s="48">
        <v>5000.0</v>
      </c>
      <c r="M4" s="48">
        <v>5000.0</v>
      </c>
      <c r="N4" s="48">
        <v>5000.0</v>
      </c>
      <c r="O4" s="49">
        <f t="shared" ref="O4:O16" si="1">SUM(C4:N4)</f>
        <v>60000</v>
      </c>
    </row>
    <row r="5" ht="30.0" customHeight="1">
      <c r="A5" s="39"/>
      <c r="B5" s="50" t="s">
        <v>36</v>
      </c>
      <c r="C5" s="51">
        <v>500.0</v>
      </c>
      <c r="D5" s="51">
        <v>525.0</v>
      </c>
      <c r="E5" s="51">
        <v>551.25</v>
      </c>
      <c r="F5" s="51">
        <v>578.81</v>
      </c>
      <c r="G5" s="51">
        <v>607.75</v>
      </c>
      <c r="H5" s="51">
        <v>638.14</v>
      </c>
      <c r="I5" s="51">
        <v>670.05</v>
      </c>
      <c r="J5" s="51">
        <v>670.05</v>
      </c>
      <c r="K5" s="51">
        <v>670.05</v>
      </c>
      <c r="L5" s="51">
        <v>670.05</v>
      </c>
      <c r="M5" s="51">
        <v>670.05</v>
      </c>
      <c r="N5" s="51">
        <v>670.05</v>
      </c>
      <c r="O5" s="52">
        <f t="shared" si="1"/>
        <v>7421.25</v>
      </c>
    </row>
    <row r="6" ht="30.0" customHeight="1">
      <c r="A6" s="39"/>
      <c r="B6" s="50" t="s">
        <v>37</v>
      </c>
      <c r="C6" s="51">
        <v>0.0</v>
      </c>
      <c r="D6" s="51">
        <v>0.0</v>
      </c>
      <c r="E6" s="51">
        <v>0.0</v>
      </c>
      <c r="F6" s="51">
        <v>0.0</v>
      </c>
      <c r="G6" s="51">
        <v>0.0</v>
      </c>
      <c r="H6" s="51">
        <v>0.0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0.0</v>
      </c>
      <c r="O6" s="52">
        <f t="shared" si="1"/>
        <v>0</v>
      </c>
    </row>
    <row r="7" ht="30.0" customHeight="1">
      <c r="A7" s="39"/>
      <c r="B7" s="50" t="s">
        <v>38</v>
      </c>
      <c r="C7" s="53">
        <v>100.0</v>
      </c>
      <c r="D7" s="53">
        <v>100.0</v>
      </c>
      <c r="E7" s="53">
        <v>100.0</v>
      </c>
      <c r="F7" s="53">
        <v>100.0</v>
      </c>
      <c r="G7" s="53">
        <v>100.0</v>
      </c>
      <c r="H7" s="53">
        <v>100.0</v>
      </c>
      <c r="I7" s="53">
        <v>100.0</v>
      </c>
      <c r="J7" s="53">
        <v>100.0</v>
      </c>
      <c r="K7" s="53">
        <v>100.0</v>
      </c>
      <c r="L7" s="53">
        <v>100.0</v>
      </c>
      <c r="M7" s="53">
        <v>100.0</v>
      </c>
      <c r="N7" s="53">
        <v>100.0</v>
      </c>
      <c r="O7" s="52">
        <f t="shared" si="1"/>
        <v>1200</v>
      </c>
    </row>
    <row r="8" ht="30.0" customHeight="1">
      <c r="A8" s="39"/>
      <c r="B8" s="50" t="s">
        <v>39</v>
      </c>
      <c r="C8" s="51">
        <v>0.0</v>
      </c>
      <c r="D8" s="51">
        <v>0.0</v>
      </c>
      <c r="E8" s="51">
        <v>0.0</v>
      </c>
      <c r="F8" s="51">
        <v>0.0</v>
      </c>
      <c r="G8" s="51">
        <v>0.0</v>
      </c>
      <c r="H8" s="51">
        <v>0.0</v>
      </c>
      <c r="I8" s="51">
        <v>0.0</v>
      </c>
      <c r="J8" s="51">
        <v>0.0</v>
      </c>
      <c r="K8" s="51">
        <v>0.0</v>
      </c>
      <c r="L8" s="51">
        <v>0.0</v>
      </c>
      <c r="M8" s="51">
        <v>0.0</v>
      </c>
      <c r="N8" s="51">
        <v>0.0</v>
      </c>
      <c r="O8" s="52">
        <f t="shared" si="1"/>
        <v>0</v>
      </c>
    </row>
    <row r="9" ht="30.0" customHeight="1">
      <c r="A9" s="39"/>
      <c r="B9" s="50" t="s">
        <v>40</v>
      </c>
      <c r="C9" s="53">
        <v>100.0</v>
      </c>
      <c r="D9" s="53">
        <v>100.0</v>
      </c>
      <c r="E9" s="53">
        <v>100.0</v>
      </c>
      <c r="F9" s="53">
        <v>100.0</v>
      </c>
      <c r="G9" s="53">
        <v>100.0</v>
      </c>
      <c r="H9" s="53">
        <v>100.0</v>
      </c>
      <c r="I9" s="53">
        <v>100.0</v>
      </c>
      <c r="J9" s="53">
        <v>100.0</v>
      </c>
      <c r="K9" s="53">
        <v>100.0</v>
      </c>
      <c r="L9" s="53">
        <v>100.0</v>
      </c>
      <c r="M9" s="53">
        <v>100.0</v>
      </c>
      <c r="N9" s="53">
        <v>100.0</v>
      </c>
      <c r="O9" s="52">
        <f t="shared" si="1"/>
        <v>1200</v>
      </c>
    </row>
    <row r="10" ht="30.0" customHeight="1">
      <c r="A10" s="39"/>
      <c r="B10" s="50" t="s">
        <v>41</v>
      </c>
      <c r="C10" s="53">
        <v>100.0</v>
      </c>
      <c r="D10" s="51">
        <v>125.0</v>
      </c>
      <c r="E10" s="51">
        <v>125.0</v>
      </c>
      <c r="F10" s="51">
        <v>125.0</v>
      </c>
      <c r="G10" s="51">
        <v>125.0</v>
      </c>
      <c r="H10" s="51">
        <v>125.0</v>
      </c>
      <c r="I10" s="51">
        <v>125.0</v>
      </c>
      <c r="J10" s="51">
        <v>125.0</v>
      </c>
      <c r="K10" s="51">
        <v>125.0</v>
      </c>
      <c r="L10" s="51">
        <v>125.0</v>
      </c>
      <c r="M10" s="51">
        <v>125.0</v>
      </c>
      <c r="N10" s="51">
        <v>125.0</v>
      </c>
      <c r="O10" s="52">
        <f t="shared" si="1"/>
        <v>1475</v>
      </c>
    </row>
    <row r="11" ht="30.0" customHeight="1">
      <c r="A11" s="39"/>
      <c r="B11" s="50" t="s">
        <v>42</v>
      </c>
      <c r="C11" s="51">
        <v>250.0</v>
      </c>
      <c r="D11" s="51">
        <v>262.5</v>
      </c>
      <c r="E11" s="51">
        <v>275.63</v>
      </c>
      <c r="F11" s="51">
        <v>289.41</v>
      </c>
      <c r="G11" s="51">
        <v>303.88</v>
      </c>
      <c r="H11" s="54">
        <v>250.0</v>
      </c>
      <c r="I11" s="54">
        <v>262.5</v>
      </c>
      <c r="J11" s="54">
        <v>275.63</v>
      </c>
      <c r="K11" s="54">
        <v>289.41</v>
      </c>
      <c r="L11" s="54">
        <v>303.88</v>
      </c>
      <c r="M11" s="54">
        <v>319.07</v>
      </c>
      <c r="N11" s="54">
        <v>335.02</v>
      </c>
      <c r="O11" s="52">
        <f t="shared" si="1"/>
        <v>3416.93</v>
      </c>
    </row>
    <row r="12" ht="30.0" customHeight="1">
      <c r="A12" s="39"/>
      <c r="B12" s="50" t="s">
        <v>43</v>
      </c>
      <c r="C12" s="51">
        <v>0.0</v>
      </c>
      <c r="D12" s="51">
        <v>0.0</v>
      </c>
      <c r="E12" s="51">
        <v>0.0</v>
      </c>
      <c r="F12" s="51">
        <v>0.0</v>
      </c>
      <c r="G12" s="51">
        <v>0.0</v>
      </c>
      <c r="H12" s="51">
        <v>0.0</v>
      </c>
      <c r="I12" s="51">
        <v>0.0</v>
      </c>
      <c r="J12" s="51">
        <v>0.0</v>
      </c>
      <c r="K12" s="51">
        <v>0.0</v>
      </c>
      <c r="L12" s="51">
        <v>0.0</v>
      </c>
      <c r="M12" s="51">
        <v>0.0</v>
      </c>
      <c r="N12" s="51">
        <v>0.0</v>
      </c>
      <c r="O12" s="52">
        <f t="shared" si="1"/>
        <v>0</v>
      </c>
    </row>
    <row r="13" ht="30.0" customHeight="1">
      <c r="A13" s="39"/>
      <c r="B13" s="50" t="s">
        <v>44</v>
      </c>
      <c r="C13" s="51">
        <v>200.0</v>
      </c>
      <c r="D13" s="51">
        <v>210.0</v>
      </c>
      <c r="E13" s="51">
        <v>220.5</v>
      </c>
      <c r="F13" s="51">
        <v>231.53</v>
      </c>
      <c r="G13" s="51">
        <v>243.1</v>
      </c>
      <c r="H13" s="51">
        <v>255.26</v>
      </c>
      <c r="I13" s="51">
        <v>200.0</v>
      </c>
      <c r="J13" s="51">
        <v>210.0</v>
      </c>
      <c r="K13" s="51">
        <v>220.5</v>
      </c>
      <c r="L13" s="51">
        <v>231.53</v>
      </c>
      <c r="M13" s="51">
        <v>243.1</v>
      </c>
      <c r="N13" s="51">
        <v>255.26</v>
      </c>
      <c r="O13" s="52">
        <f t="shared" si="1"/>
        <v>2720.78</v>
      </c>
    </row>
    <row r="14" ht="30.0" customHeight="1">
      <c r="A14" s="39"/>
      <c r="B14" s="50" t="s">
        <v>45</v>
      </c>
      <c r="C14" s="51">
        <v>0.0</v>
      </c>
      <c r="D14" s="51">
        <v>0.0</v>
      </c>
      <c r="E14" s="51">
        <v>0.0</v>
      </c>
      <c r="F14" s="51">
        <v>0.0</v>
      </c>
      <c r="G14" s="51">
        <v>0.0</v>
      </c>
      <c r="H14" s="51">
        <v>0.0</v>
      </c>
      <c r="I14" s="51">
        <v>0.0</v>
      </c>
      <c r="J14" s="51">
        <v>0.0</v>
      </c>
      <c r="K14" s="51">
        <v>0.0</v>
      </c>
      <c r="L14" s="51">
        <v>0.0</v>
      </c>
      <c r="M14" s="51">
        <v>0.0</v>
      </c>
      <c r="N14" s="51">
        <v>0.0</v>
      </c>
      <c r="O14" s="52">
        <f t="shared" si="1"/>
        <v>0</v>
      </c>
    </row>
    <row r="15" ht="30.0" customHeight="1">
      <c r="A15" s="39"/>
      <c r="B15" s="50" t="s">
        <v>46</v>
      </c>
      <c r="C15" s="51">
        <v>0.0</v>
      </c>
      <c r="D15" s="51">
        <v>0.0</v>
      </c>
      <c r="E15" s="51">
        <v>0.0</v>
      </c>
      <c r="F15" s="51">
        <v>0.0</v>
      </c>
      <c r="G15" s="51">
        <v>0.0</v>
      </c>
      <c r="H15" s="51">
        <v>0.0</v>
      </c>
      <c r="I15" s="51">
        <v>0.0</v>
      </c>
      <c r="J15" s="51">
        <v>0.0</v>
      </c>
      <c r="K15" s="51">
        <v>0.0</v>
      </c>
      <c r="L15" s="51">
        <v>0.0</v>
      </c>
      <c r="M15" s="51">
        <v>0.0</v>
      </c>
      <c r="N15" s="51">
        <v>0.0</v>
      </c>
      <c r="O15" s="52">
        <f t="shared" si="1"/>
        <v>0</v>
      </c>
    </row>
    <row r="16" ht="30.0" customHeight="1">
      <c r="A16" s="39"/>
      <c r="B16" s="50" t="s">
        <v>47</v>
      </c>
      <c r="C16" s="51">
        <v>0.0</v>
      </c>
      <c r="D16" s="51">
        <v>0.0</v>
      </c>
      <c r="E16" s="51">
        <v>0.0</v>
      </c>
      <c r="F16" s="51">
        <v>0.0</v>
      </c>
      <c r="G16" s="51">
        <v>0.0</v>
      </c>
      <c r="H16" s="51">
        <v>0.0</v>
      </c>
      <c r="I16" s="51">
        <v>0.0</v>
      </c>
      <c r="J16" s="51">
        <v>0.0</v>
      </c>
      <c r="K16" s="51">
        <v>0.0</v>
      </c>
      <c r="L16" s="51">
        <v>0.0</v>
      </c>
      <c r="M16" s="51">
        <v>0.0</v>
      </c>
      <c r="N16" s="51">
        <v>0.0</v>
      </c>
      <c r="O16" s="52">
        <f t="shared" si="1"/>
        <v>0</v>
      </c>
    </row>
    <row r="17" ht="30.0" customHeight="1">
      <c r="A17" s="39"/>
      <c r="B17" s="50" t="s">
        <v>48</v>
      </c>
      <c r="C17" s="51">
        <f t="shared" ref="C17:N17" si="2">IF(SUM(C4:C16)=0,"",SUM(C4:C16))</f>
        <v>6250</v>
      </c>
      <c r="D17" s="51">
        <f t="shared" si="2"/>
        <v>6322.5</v>
      </c>
      <c r="E17" s="51">
        <f t="shared" si="2"/>
        <v>6372.38</v>
      </c>
      <c r="F17" s="51">
        <f t="shared" si="2"/>
        <v>6424.75</v>
      </c>
      <c r="G17" s="51">
        <f t="shared" si="2"/>
        <v>6479.73</v>
      </c>
      <c r="H17" s="51">
        <f t="shared" si="2"/>
        <v>6468.4</v>
      </c>
      <c r="I17" s="51">
        <f t="shared" si="2"/>
        <v>6457.55</v>
      </c>
      <c r="J17" s="51">
        <f t="shared" si="2"/>
        <v>6480.68</v>
      </c>
      <c r="K17" s="51">
        <f t="shared" si="2"/>
        <v>6504.96</v>
      </c>
      <c r="L17" s="51">
        <f t="shared" si="2"/>
        <v>6530.46</v>
      </c>
      <c r="M17" s="51">
        <f t="shared" si="2"/>
        <v>6557.22</v>
      </c>
      <c r="N17" s="51">
        <f t="shared" si="2"/>
        <v>6585.33</v>
      </c>
      <c r="O17" s="55">
        <f>SUBTOTAL(109,'Operation Expenses'!$O$4:$O$16)</f>
        <v>77433.96</v>
      </c>
    </row>
  </sheetData>
  <mergeCells count="3">
    <mergeCell ref="B1:B2"/>
    <mergeCell ref="C1:K1"/>
    <mergeCell ref="C2:K2"/>
  </mergeCells>
  <printOptions horizontalCentered="1"/>
  <pageMargins bottom="0.75" footer="0.0" header="0.0" left="0.25" right="0.25" top="0.75"/>
  <pageSetup fitToHeight="0" orientation="landscape"/>
  <headerFooter>
    <oddFooter>&amp;C03+000Page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2018-02-27T04:33:55Z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2018-02-27T04:33:58.1250501Z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